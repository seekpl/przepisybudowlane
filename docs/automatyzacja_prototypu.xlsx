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sumowanie" sheetId="1" state="visible" r:id="rId3"/>
    <sheet name="Działania" sheetId="2" state="visible" r:id="rId4"/>
    <sheet name="Ryzyka" sheetId="3" state="visible" r:id="rId5"/>
    <sheet name="Źródła" sheetId="4" state="visible" r:id="rId6"/>
  </sheets>
  <definedNames>
    <definedName function="false" hidden="true" localSheetId="1" name="_xlnm._FilterDatabase" vbProcedure="false">Działania!$A$4:$I$30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<sst xmlns="http://schemas.openxmlformats.org/spreadsheetml/2006/main" count="260" uniqueCount="145">
  <si>
    <t xml:space="preserve">Automatyzacja prototypu – podsumowanie</t>
  </si>
  <si>
    <t xml:space="preserve">Stan na 21.10.2026. Kolumny E–I liczą się automatycznie z arkusza Działania (statusy zmieniasz tam).</t>
  </si>
  <si>
    <t xml:space="preserve">Nr</t>
  </si>
  <si>
    <t xml:space="preserve">Problem</t>
  </si>
  <si>
    <t xml:space="preserve">Pełna automatyzacja?</t>
  </si>
  <si>
    <t xml:space="preserve">Co zostaje człowiekowi</t>
  </si>
  <si>
    <t xml:space="preserve">Liczba działań</t>
  </si>
  <si>
    <t xml:space="preserve">W pełni automatyczne</t>
  </si>
  <si>
    <t xml:space="preserve">% w pełni automatycznych</t>
  </si>
  <si>
    <t xml:space="preserve">Zrobione</t>
  </si>
  <si>
    <t xml:space="preserve">Postęp</t>
  </si>
  <si>
    <t xml:space="preserve">ELI API na żywo</t>
  </si>
  <si>
    <t xml:space="preserve">Tak</t>
  </si>
  <si>
    <t xml:space="preserve">Reakcja na alarm przy zmianie schematu API</t>
  </si>
  <si>
    <t xml:space="preserve">Ręcznie wpisany tekst prawa</t>
  </si>
  <si>
    <t xml:space="preserve">Ocena przepisów przejściowych</t>
  </si>
  <si>
    <t xml:space="preserve">Trafność wyszukiwania</t>
  </si>
  <si>
    <t xml:space="preserve">Nic</t>
  </si>
  <si>
    <t xml:space="preserve">Kreator</t>
  </si>
  <si>
    <t xml:space="preserve">Częściowo</t>
  </si>
  <si>
    <t xml:space="preserve">Zatwierdzenie gałęzi z rozstrzygnięciem</t>
  </si>
  <si>
    <t xml:space="preserve">Treści redakcyjne</t>
  </si>
  <si>
    <t xml:space="preserve">Merytoryczny przegląd i odpowiedzialność redakcyjna</t>
  </si>
  <si>
    <t xml:space="preserve">Razem</t>
  </si>
  <si>
    <t xml:space="preserve">Zacznij od:</t>
  </si>
  <si>
    <t xml:space="preserve">ELI API na żywo – bez prawdziwych odpowiedzi ELI nie da się wymienić tekstu prawa ani zmierzyć trafności na realnych danych.</t>
  </si>
  <si>
    <t xml:space="preserve">Decyzja:</t>
  </si>
  <si>
    <t xml:space="preserve">Pełna automatyzacja czy warstwa z przeglądem to decyzja operatora (punkt „model odpowiedzialności” w docs/stan-prac.md).</t>
  </si>
  <si>
    <t xml:space="preserve">Działania automatyzacji prototypu</t>
  </si>
  <si>
    <t xml:space="preserve">Uzupełniaj tylko żółte kolumny: Status (wybór z listy) i Właściciel. Pozostałe kolumny pochodzą z analizy z 21.10.2026.</t>
  </si>
  <si>
    <t xml:space="preserve">ID</t>
  </si>
  <si>
    <t xml:space="preserve">Obszar</t>
  </si>
  <si>
    <t xml:space="preserve">Działanie</t>
  </si>
  <si>
    <t xml:space="preserve">Rola człowieka</t>
  </si>
  <si>
    <t xml:space="preserve">Automatyzacja</t>
  </si>
  <si>
    <t xml:space="preserve">Zależy od</t>
  </si>
  <si>
    <t xml:space="preserve">Status</t>
  </si>
  <si>
    <t xml:space="preserve">Właściciel</t>
  </si>
  <si>
    <t xml:space="preserve">Uwagi</t>
  </si>
  <si>
    <t xml:space="preserve">1.1</t>
  </si>
  <si>
    <t xml:space="preserve">Zaplanowany workflow w CI (np. GitHub Actions, codziennie) uruchamia `cli eli-record` dla aktów z manifestu i zapisuje odpowiedzi jako fixtures.</t>
  </si>
  <si>
    <t xml:space="preserve">Brak</t>
  </si>
  <si>
    <t xml:space="preserve">Pełna</t>
  </si>
  <si>
    <t xml:space="preserve">Od tego zacząć – blokuje wymianę tekstu prawa i pomiar trafności.</t>
  </si>
  <si>
    <t xml:space="preserve">1.2</t>
  </si>
  <si>
    <t xml:space="preserve">Testy kontraktu na nagranych odpowiedziach; gdy odpowiedzi się zmieniły, a testy przechodzą, bot sam otwiera i scala PR z nowymi danymi.</t>
  </si>
  <si>
    <t xml:space="preserve">W toku</t>
  </si>
  <si>
    <t xml:space="preserve">1.3</t>
  </si>
  <si>
    <t xml:space="preserve">Gdy testy padają: synchronizacja produkcyjna się wstrzymuje, a karty pokazują „nie potwierdzono aktualności”.</t>
  </si>
  <si>
    <t xml:space="preserve">1.4</t>
  </si>
  <si>
    <t xml:space="preserve">Modele danych generowane ze specyfikacji OpenAPI Kancelarii Sejmu; walidacja każdej odpowiedzi, w tym pola `legalStatusDate`.</t>
  </si>
  <si>
    <t xml:space="preserve">1.5</t>
  </si>
  <si>
    <t xml:space="preserve">Test zamkniętego słownika `REFERENCE_ROLES`: każdy klucz powiązania musi być znany; nieznany klucz = alarm i status „nie potwierdzono”.</t>
  </si>
  <si>
    <t xml:space="preserve">Reakcja na alarm</t>
  </si>
  <si>
    <t xml:space="preserve">1.6</t>
  </si>
  <si>
    <t xml:space="preserve">Test parsera HTML na wszystkich nagranych tekstach z progiem jakości; akt poniżej progu trafia na ścieżkę „tylko PDF, do kontroli”.</t>
  </si>
  <si>
    <t xml:space="preserve">Kontrola wyniku z PDF</t>
  </si>
  <si>
    <t xml:space="preserve">1.7</t>
  </si>
  <si>
    <t xml:space="preserve">Dopisać `api.sejm.gov.pl` do dozwolonych domen środowiska Claude Code, żeby agent mógł nagrywać odpowiedzi sam.</t>
  </si>
  <si>
    <t xml:space="preserve">Jednorazowa zmiana ustawień</t>
  </si>
  <si>
    <t xml:space="preserve">Do zrobienia</t>
  </si>
  <si>
    <t xml:space="preserve">1.8</t>
  </si>
  <si>
    <t xml:space="preserve">Wznowić sesję Claude Code i zlecić workflow CI z testem kontraktu; pull request otworzyć dopiero z nimi.</t>
  </si>
  <si>
    <t xml:space="preserve">Wznowienie sesji</t>
  </si>
  <si>
    <t xml:space="preserve">2.1</t>
  </si>
  <si>
    <t xml:space="preserve">Niezmiennik w bazie: żadna wersja przepisu nie istnieje bez snapshotu z ELI i sumy SHA-256.</t>
  </si>
  <si>
    <t xml:space="preserve">2.2</t>
  </si>
  <si>
    <t xml:space="preserve">Test w CI blokujący dane startowe z tekstem prawa wpisanym ręcznie.</t>
  </si>
  <si>
    <t xml:space="preserve">2.3</t>
  </si>
  <si>
    <t xml:space="preserve">Usunąć ręcznie wpisane art. 28 i 29 Prawa budowlanego; tekst urzędowy wstawia pierwsza synchronizacja, typ i status liczą się z metadanych ELI.</t>
  </si>
  <si>
    <t xml:space="preserve">2.4</t>
  </si>
  <si>
    <t xml:space="preserve">§ 12 warunków technicznych: automat znajduje i podpina przepisy przejściowe aktu uchylającego.</t>
  </si>
  <si>
    <t xml:space="preserve">Ocena, do jakich spraw przepis stosuje się dalej (interpretacja)</t>
  </si>
  <si>
    <t xml:space="preserve">Częściowa</t>
  </si>
  <si>
    <t xml:space="preserve">Metadane ELI mówią tylko, że przepis uchylono i którym aktem.</t>
  </si>
  <si>
    <t xml:space="preserve">3.1</t>
  </si>
  <si>
    <t xml:space="preserve">Warstwa automatyczna publikowana bez człowieka: tekst urzędowy, metryka, typ, status, nowelizacje.</t>
  </si>
  <si>
    <t xml:space="preserve">3.2</t>
  </si>
  <si>
    <t xml:space="preserve">Słowniczek jako dosłowne definicje ustawowe (np. z art. 3 Prawa budowlanego) wyciągane przez parser – cytat, nie interpretacja.</t>
  </si>
  <si>
    <t xml:space="preserve">3.3</t>
  </si>
  <si>
    <t xml:space="preserve">AI pisze szkice objaśnień, ścieżek i werdyktów kreatora wyłącznie z tekstu urzędowego; każde zdanie przypięte do konkretnego przepisu.</t>
  </si>
  <si>
    <t xml:space="preserve">Przegląd przed publikacją (3.6)</t>
  </si>
  <si>
    <t xml:space="preserve">3.4</t>
  </si>
  <si>
    <t xml:space="preserve">Walidatory: każda liczba, data i odesłanie musi występować w źródle; zdania bez cytatu są odrzucane.</t>
  </si>
  <si>
    <t xml:space="preserve">3.5</t>
  </si>
  <si>
    <t xml:space="preserve">Po zmianie źródła treść jest automatycznie zawieszana, a AI przygotowuje nowy szkic.</t>
  </si>
  <si>
    <t xml:space="preserve">3.6</t>
  </si>
  <si>
    <t xml:space="preserve">Kolejka przeglądu: prawnik widzi tylko różnice i zatwierdza albo odrzuca; przegląd merytoryczny i podpisany imiennie (może być zewnętrzny, np. kancelaria na ryczałcie).</t>
  </si>
  <si>
    <t xml:space="preserve">Minuty na zmianę zamiast godzin pisania.</t>
  </si>
  <si>
    <t xml:space="preserve">3.7</t>
  </si>
  <si>
    <t xml:space="preserve">Ocena prawna, czy objaśnienia prawa budowlanego to „sprawy interesu publicznego” w rozumieniu art. 50 ust. 4 AI Act.</t>
  </si>
  <si>
    <t xml:space="preserve">Opinia prawnika</t>
  </si>
  <si>
    <t xml:space="preserve">Decyzja człowieka</t>
  </si>
  <si>
    <t xml:space="preserve">Zob. arkusz Ryzyka.</t>
  </si>
  <si>
    <t xml:space="preserve">3.8</t>
  </si>
  <si>
    <t xml:space="preserve">Decyzja operatora: pełna automatyzacja czy warstwa z przeglądem; dopisać do punktu „model odpowiedzialności” w docs/stan-prac.md.</t>
  </si>
  <si>
    <t xml:space="preserve">Decyzja operatora</t>
  </si>
  <si>
    <t xml:space="preserve">4.1</t>
  </si>
  <si>
    <t xml:space="preserve">Automat zamienia wyliczenia z art. 29–30 Prawa budowlanego na reguły z warunkami (rodzaj obiektu, powierzchnia, położenie) i odesłaniem do przepisu.</t>
  </si>
  <si>
    <t xml:space="preserve">Zatwierdzenie gałęzi z werdyktem (kolejka 3.6)</t>
  </si>
  <si>
    <t xml:space="preserve">Przyspiesza gałęzie dla garaży, wiat i ogrodzeń.</t>
  </si>
  <si>
    <t xml:space="preserve">4.2</t>
  </si>
  <si>
    <t xml:space="preserve">Do czasu zatwierdzenia: obecny komunikat plus automatyczna lista pasujących przepisów z etykietą „przepisy do sprawdzenia, nie odpowiedź”.</t>
  </si>
  <si>
    <t xml:space="preserve">5.1</t>
  </si>
  <si>
    <t xml:space="preserve">Maszynowo budowany zestaw testowy: formy odmiany (np. generatorem Morfeusz 2) i potoczne warianty dla każdego hasła i przepisu, z oczekiwanym wynikiem.</t>
  </si>
  <si>
    <t xml:space="preserve">5.2</t>
  </si>
  <si>
    <t xml:space="preserve">CI porównuje trzy warianty: obecny stemmer, PostgreSQL ze słownikiem Hunspell pl_PL w obrazie Dockera, lematyzację przy indeksowaniu; wygrywa najlepszy wynik.</t>
  </si>
  <si>
    <t xml:space="preserve">5.3</t>
  </si>
  <si>
    <t xml:space="preserve">Każdy spadek trafności blokuje scalenie zmian.</t>
  </si>
  <si>
    <t xml:space="preserve">5.4</t>
  </si>
  <si>
    <t xml:space="preserve">Na produkcji zapytania bez wyników (bez danych osobowych) automatycznie zasilają propozycje synonimów.</t>
  </si>
  <si>
    <t xml:space="preserve">Koszty pełnej automatyzacji treści redakcyjnych</t>
  </si>
  <si>
    <t xml:space="preserve">Ryzyko</t>
  </si>
  <si>
    <t xml:space="preserve">Opis</t>
  </si>
  <si>
    <t xml:space="preserve">Źródło</t>
  </si>
  <si>
    <t xml:space="preserve">Status weryfikacji</t>
  </si>
  <si>
    <t xml:space="preserve">Ryzyko dla inwestora</t>
  </si>
  <si>
    <t xml:space="preserve">Błędne „wystarczy zgłoszenie” może skończyć się samowolą budowlaną; odpowiedzialność zostaje przy operatorze, nie przy modelu.</t>
  </si>
  <si>
    <t xml:space="preserve">Analiza z 21.10.2026</t>
  </si>
  <si>
    <t xml:space="preserve">—</t>
  </si>
  <si>
    <t xml:space="preserve">AI Act, art. 50 ust. 4</t>
  </si>
  <si>
    <t xml:space="preserve">Tekst wygenerowany przez AI i publikowany w celu informowania o sprawach interesu publicznego trzeba oznaczyć, chyba że przeszedł ludzki przegląd lub kontrolę redakcyjną, a ktoś ponosi za niego odpowiedzialność redakcyjną. Komisja interpretuje ten wyjątek wąsko: pobieżne zatwierdzenie nie wystarcza.</t>
  </si>
  <si>
    <t xml:space="preserve">Wytyczne Komisji Europejskiej do art. 50 (20.07.2026); omówienie Greenberg Traurig (06.2026) – adresy w arkuszu Źródła</t>
  </si>
  <si>
    <t xml:space="preserve">Do potwierdzenia przez prawnika, czy objaśnienia to „sprawy interesu publicznego”</t>
  </si>
  <si>
    <t xml:space="preserve">Niezgodność z planem</t>
  </si>
  <si>
    <t xml:space="preserve">Pełna automatyzacja łamie bramkę B (zatwierdzenie treści przez niezależnego prawnika) i problem P0 z audytu.</t>
  </si>
  <si>
    <t xml:space="preserve">Plan aplikacji; audyt z 18.10.2026</t>
  </si>
  <si>
    <t xml:space="preserve">Źródła</t>
  </si>
  <si>
    <t xml:space="preserve">Do czego</t>
  </si>
  <si>
    <t xml:space="preserve">Adres</t>
  </si>
  <si>
    <t xml:space="preserve">Specyfikacja OpenAPI ELI API (Kancelaria Sejmu)</t>
  </si>
  <si>
    <t xml:space="preserve">Generowanie modeli danych i walidacja odpowiedzi (1.4)</t>
  </si>
  <si>
    <t xml:space="preserve">https://api.sejm.gov.pl/eli/openapi/</t>
  </si>
  <si>
    <t xml:space="preserve">Dokumentacja ELI API</t>
  </si>
  <si>
    <t xml:space="preserve">Pola metryki, powiązania, tekst HTML</t>
  </si>
  <si>
    <t xml:space="preserve">https://api.sejm.gov.pl/eli_pl.html</t>
  </si>
  <si>
    <t xml:space="preserve">Komisja Europejska – wytyczne do art. 50 AI Act (20.07.2026)</t>
  </si>
  <si>
    <t xml:space="preserve">Obowiązki przejrzystości, wyjątek dla tekstu z przeglądem redakcyjnym</t>
  </si>
  <si>
    <t xml:space="preserve">https://digital-strategy.ec.europa.eu/en/library/guidelines-transparency-obligations-providers-and-deployers-ai-systems</t>
  </si>
  <si>
    <t xml:space="preserve">Greenberg Traurig – omówienie projektu wytycznych (06.2026)</t>
  </si>
  <si>
    <t xml:space="preserve">Wąska interpretacja wyjątku dla tekstu z przeglądem</t>
  </si>
  <si>
    <t xml:space="preserve">https://www.gtlaw.com/en/insights/2026/6/deepfakes-chatbots-ai-generated-text-european-commission-details-transparency-obligations-under-the-ai-act</t>
  </si>
  <si>
    <t xml:space="preserve">docs/stan-prac.md (20.10.2026)</t>
  </si>
  <si>
    <t xml:space="preserve">Stan prototypu i decyzje otwarte z etapu 0</t>
  </si>
  <si>
    <t xml:space="preserve">dokument zespołu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</si>
</sst>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7ECF2"/>
        <bgColor rgb="FFFFF2CC"/>
      </patternFill>
    </fill>
    <fill>
      <patternFill patternType="solid">
        <fgColor rgb="FFFFF2CC"/>
        <bgColor rgb="FFE7EC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C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i.sejm.gov.pl/eli/openapi/" TargetMode="External"/><Relationship Id="rId2" Type="http://schemas.openxmlformats.org/officeDocument/2006/relationships/hyperlink" Target="https://api.sejm.gov.pl/eli_pl.html" TargetMode="External"/><Relationship Id="rId3" Type="http://schemas.openxmlformats.org/officeDocument/2006/relationships/hyperlink" Target="https://digital-strategy.ec.europa.eu/en/library/guidelines-transparency-obligations-providers-and-deployers-ai-systems" TargetMode="External"/><Relationship Id="rId4" Type="http://schemas.openxmlformats.org/officeDocument/2006/relationships/hyperlink" Target="https://www.gtlaw.com/en/insights/2026/6/deepfakes-chatbots-ai-generated-text-european-commission-details-transparency-obligations-under-the-ai-ac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4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n">
        <v>1</v>
      </c>
      <c r="B5" s="6" t="s">
        <v>11</v>
      </c>
      <c r="C5" s="5" t="s">
        <v>12</v>
      </c>
      <c r="D5" s="6" t="s">
        <v>13</v>
      </c>
      <c r="E5" s="5" t="n">
        <f aca="false">COUNTIF(Działania!$B$5:$B$60,B5)</f>
        <v>8</v>
      </c>
      <c r="F5" s="5" t="n">
        <f aca="false">COUNTIFS(Działania!$B$5:$B$60,B5,Działania!$E$5:$E$60,"Pełna")</f>
        <v>8</v>
      </c>
      <c r="G5" s="7" t="n">
        <f aca="false">IF(E5=0,0,F5/E5)</f>
        <v>1</v>
      </c>
      <c r="H5" s="5" t="n">
        <f aca="false">COUNTIFS(Działania!$B$5:$B$60,B5,Działania!$G$5:$G$60,"Zrobione")</f>
        <v>5</v>
      </c>
      <c r="I5" s="7" t="n">
        <f aca="false">IF(E5=0,0,H5/E5)</f>
        <v>0.625</v>
      </c>
    </row>
    <row r="6" customFormat="false" ht="15" hidden="false" customHeight="true" outlineLevel="0" collapsed="false">
      <c r="A6" s="5" t="n">
        <v>2</v>
      </c>
      <c r="B6" s="6" t="s">
        <v>14</v>
      </c>
      <c r="C6" s="5" t="s">
        <v>12</v>
      </c>
      <c r="D6" s="6" t="s">
        <v>15</v>
      </c>
      <c r="E6" s="5" t="n">
        <f aca="false">COUNTIF(Działania!$B$5:$B$60,B6)</f>
        <v>4</v>
      </c>
      <c r="F6" s="5" t="n">
        <f aca="false">COUNTIFS(Działania!$B$5:$B$60,B6,Działania!$E$5:$E$60,"Pełna")</f>
        <v>3</v>
      </c>
      <c r="G6" s="7" t="n">
        <f aca="false">IF(E6=0,0,F6/E6)</f>
        <v>0.75</v>
      </c>
      <c r="H6" s="5" t="n">
        <f aca="false">COUNTIFS(Działania!$B$5:$B$60,B6,Działania!$G$5:$G$60,"Zrobione")</f>
        <v>4</v>
      </c>
      <c r="I6" s="7" t="n">
        <f aca="false">IF(E6=0,0,H6/E6)</f>
        <v>1</v>
      </c>
    </row>
    <row r="7" customFormat="false" ht="15" hidden="false" customHeight="true" outlineLevel="0" collapsed="false">
      <c r="A7" s="5" t="n">
        <v>3</v>
      </c>
      <c r="B7" s="6" t="s">
        <v>16</v>
      </c>
      <c r="C7" s="5" t="s">
        <v>12</v>
      </c>
      <c r="D7" s="6" t="s">
        <v>17</v>
      </c>
      <c r="E7" s="5" t="n">
        <f aca="false">COUNTIF(Działania!$B$5:$B$60,B7)</f>
        <v>4</v>
      </c>
      <c r="F7" s="5" t="n">
        <f aca="false">COUNTIFS(Działania!$B$5:$B$60,B7,Działania!$E$5:$E$60,"Pełna")</f>
        <v>4</v>
      </c>
      <c r="G7" s="7" t="n">
        <f aca="false">IF(E7=0,0,F7/E7)</f>
        <v>1</v>
      </c>
      <c r="H7" s="5" t="n">
        <f aca="false">COUNTIFS(Działania!$B$5:$B$60,B7,Działania!$G$5:$G$60,"Zrobione")</f>
        <v>3</v>
      </c>
      <c r="I7" s="7" t="n">
        <f aca="false">IF(E7=0,0,H7/E7)</f>
        <v>0.75</v>
      </c>
    </row>
    <row r="8" customFormat="false" ht="15" hidden="false" customHeight="true" outlineLevel="0" collapsed="false">
      <c r="A8" s="5" t="n">
        <v>4</v>
      </c>
      <c r="B8" s="6" t="s">
        <v>18</v>
      </c>
      <c r="C8" s="5" t="s">
        <v>19</v>
      </c>
      <c r="D8" s="6" t="s">
        <v>20</v>
      </c>
      <c r="E8" s="5" t="n">
        <f aca="false">COUNTIF(Działania!$B$5:$B$60,B8)</f>
        <v>2</v>
      </c>
      <c r="F8" s="5" t="n">
        <f aca="false">COUNTIFS(Działania!$B$5:$B$60,B8,Działania!$E$5:$E$60,"Pełna")</f>
        <v>1</v>
      </c>
      <c r="G8" s="7" t="n">
        <f aca="false">IF(E8=0,0,F8/E8)</f>
        <v>0.5</v>
      </c>
      <c r="H8" s="5" t="n">
        <f aca="false">COUNTIFS(Działania!$B$5:$B$60,B8,Działania!$G$5:$G$60,"Zrobione")</f>
        <v>1</v>
      </c>
      <c r="I8" s="7" t="n">
        <f aca="false">IF(E8=0,0,H8/E8)</f>
        <v>0.5</v>
      </c>
    </row>
    <row r="9" customFormat="false" ht="15" hidden="false" customHeight="true" outlineLevel="0" collapsed="false">
      <c r="A9" s="5" t="n">
        <v>5</v>
      </c>
      <c r="B9" s="6" t="s">
        <v>21</v>
      </c>
      <c r="C9" s="5" t="s">
        <v>19</v>
      </c>
      <c r="D9" s="6" t="s">
        <v>22</v>
      </c>
      <c r="E9" s="5" t="n">
        <f aca="false">COUNTIF(Działania!$B$5:$B$60,B9)</f>
        <v>8</v>
      </c>
      <c r="F9" s="5" t="n">
        <f aca="false">COUNTIFS(Działania!$B$5:$B$60,B9,Działania!$E$5:$E$60,"Pełna")</f>
        <v>4</v>
      </c>
      <c r="G9" s="7" t="n">
        <f aca="false">IF(E9=0,0,F9/E9)</f>
        <v>0.5</v>
      </c>
      <c r="H9" s="5" t="n">
        <f aca="false">COUNTIFS(Działania!$B$5:$B$60,B9,Działania!$G$5:$G$60,"Zrobione")</f>
        <v>5</v>
      </c>
      <c r="I9" s="7" t="n">
        <f aca="false">IF(E9=0,0,H9/E9)</f>
        <v>0.625</v>
      </c>
    </row>
    <row r="10" customFormat="false" ht="15" hidden="false" customHeight="true" outlineLevel="0" collapsed="false">
      <c r="A10" s="8"/>
      <c r="B10" s="9" t="s">
        <v>23</v>
      </c>
      <c r="C10" s="8"/>
      <c r="D10" s="8"/>
      <c r="E10" s="8" t="n">
        <f aca="false">SUM(E5:E9)</f>
        <v>26</v>
      </c>
      <c r="F10" s="8" t="n">
        <f aca="false">SUM(F5:F9)</f>
        <v>20</v>
      </c>
      <c r="G10" s="10" t="n">
        <f aca="false">IF(E10=0,0,F10/E10)</f>
        <v>0.769230769230769</v>
      </c>
      <c r="H10" s="8" t="n">
        <f aca="false">SUM(H5:H9)</f>
        <v>18</v>
      </c>
      <c r="I10" s="10" t="n">
        <f aca="false">IF(E10=0,0,H10/E10)</f>
        <v>0.692307692307692</v>
      </c>
    </row>
    <row r="12" customFormat="false" ht="15" hidden="false" customHeight="true" outlineLevel="0" collapsed="false">
      <c r="A12" s="11" t="s">
        <v>24</v>
      </c>
      <c r="B12" s="12" t="s">
        <v>25</v>
      </c>
    </row>
    <row r="13" customFormat="false" ht="15" hidden="false" customHeight="true" outlineLevel="0" collapsed="false">
      <c r="A13" s="11" t="s">
        <v>26</v>
      </c>
      <c r="B13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</row>
    <row r="5" customFormat="false" ht="23.25" hidden="false" customHeight="true" outlineLevel="0" collapsed="false">
      <c r="A5" s="5" t="s">
        <v>39</v>
      </c>
      <c r="B5" s="6" t="s">
        <v>11</v>
      </c>
      <c r="C5" s="6" t="s">
        <v>40</v>
      </c>
      <c r="D5" s="6" t="s">
        <v>41</v>
      </c>
      <c r="E5" s="5" t="s">
        <v>42</v>
      </c>
      <c r="F5" s="5"/>
      <c r="G5" s="13" t="s">
        <v>9</v>
      </c>
      <c r="H5" s="14"/>
      <c r="I5" s="6" t="s">
        <v>43</v>
      </c>
    </row>
    <row r="6" customFormat="false" ht="23.25" hidden="false" customHeight="true" outlineLevel="0" collapsed="false">
      <c r="A6" s="5" t="s">
        <v>44</v>
      </c>
      <c r="B6" s="6" t="s">
        <v>11</v>
      </c>
      <c r="C6" s="6" t="s">
        <v>45</v>
      </c>
      <c r="D6" s="6" t="s">
        <v>41</v>
      </c>
      <c r="E6" s="5" t="s">
        <v>42</v>
      </c>
      <c r="F6" s="5" t="s">
        <v>39</v>
      </c>
      <c r="G6" s="13" t="s">
        <v>46</v>
      </c>
      <c r="H6" s="14"/>
      <c r="I6" s="6"/>
    </row>
    <row r="7" customFormat="false" ht="23.25" hidden="false" customHeight="true" outlineLevel="0" collapsed="false">
      <c r="A7" s="5" t="s">
        <v>47</v>
      </c>
      <c r="B7" s="6" t="s">
        <v>11</v>
      </c>
      <c r="C7" s="6" t="s">
        <v>48</v>
      </c>
      <c r="D7" s="6" t="s">
        <v>13</v>
      </c>
      <c r="E7" s="5" t="s">
        <v>42</v>
      </c>
      <c r="F7" s="5" t="s">
        <v>44</v>
      </c>
      <c r="G7" s="13" t="s">
        <v>9</v>
      </c>
      <c r="H7" s="14"/>
      <c r="I7" s="6"/>
    </row>
    <row r="8" customFormat="false" ht="23.25" hidden="false" customHeight="true" outlineLevel="0" collapsed="false">
      <c r="A8" s="5" t="s">
        <v>49</v>
      </c>
      <c r="B8" s="6" t="s">
        <v>11</v>
      </c>
      <c r="C8" s="6" t="s">
        <v>50</v>
      </c>
      <c r="D8" s="6" t="s">
        <v>41</v>
      </c>
      <c r="E8" s="5" t="s">
        <v>42</v>
      </c>
      <c r="F8" s="5" t="s">
        <v>39</v>
      </c>
      <c r="G8" s="13" t="s">
        <v>46</v>
      </c>
      <c r="H8" s="14"/>
      <c r="I8" s="6"/>
    </row>
    <row r="9" customFormat="false" ht="34.5" hidden="false" customHeight="true" outlineLevel="0" collapsed="false">
      <c r="A9" s="5" t="s">
        <v>51</v>
      </c>
      <c r="B9" s="6" t="s">
        <v>11</v>
      </c>
      <c r="C9" s="6" t="s">
        <v>52</v>
      </c>
      <c r="D9" s="6" t="s">
        <v>53</v>
      </c>
      <c r="E9" s="5" t="s">
        <v>42</v>
      </c>
      <c r="F9" s="5" t="s">
        <v>39</v>
      </c>
      <c r="G9" s="13" t="s">
        <v>9</v>
      </c>
      <c r="H9" s="14"/>
      <c r="I9" s="6"/>
    </row>
    <row r="10" customFormat="false" ht="23.25" hidden="false" customHeight="true" outlineLevel="0" collapsed="false">
      <c r="A10" s="5" t="s">
        <v>54</v>
      </c>
      <c r="B10" s="6" t="s">
        <v>11</v>
      </c>
      <c r="C10" s="6" t="s">
        <v>55</v>
      </c>
      <c r="D10" s="6" t="s">
        <v>56</v>
      </c>
      <c r="E10" s="5" t="s">
        <v>42</v>
      </c>
      <c r="F10" s="5" t="s">
        <v>39</v>
      </c>
      <c r="G10" s="13" t="s">
        <v>9</v>
      </c>
      <c r="H10" s="14"/>
      <c r="I10" s="6"/>
    </row>
    <row r="11" customFormat="false" ht="23.25" hidden="false" customHeight="true" outlineLevel="0" collapsed="false">
      <c r="A11" s="5" t="s">
        <v>57</v>
      </c>
      <c r="B11" s="6" t="s">
        <v>11</v>
      </c>
      <c r="C11" s="6" t="s">
        <v>58</v>
      </c>
      <c r="D11" s="6" t="s">
        <v>59</v>
      </c>
      <c r="E11" s="5" t="s">
        <v>42</v>
      </c>
      <c r="F11" s="5"/>
      <c r="G11" s="13" t="s">
        <v>60</v>
      </c>
      <c r="H11" s="14"/>
      <c r="I11" s="6"/>
    </row>
    <row r="12" customFormat="false" ht="23.25" hidden="false" customHeight="true" outlineLevel="0" collapsed="false">
      <c r="A12" s="5" t="s">
        <v>61</v>
      </c>
      <c r="B12" s="6" t="s">
        <v>11</v>
      </c>
      <c r="C12" s="6" t="s">
        <v>62</v>
      </c>
      <c r="D12" s="6" t="s">
        <v>63</v>
      </c>
      <c r="E12" s="5" t="s">
        <v>42</v>
      </c>
      <c r="F12" s="5"/>
      <c r="G12" s="13" t="s">
        <v>9</v>
      </c>
      <c r="H12" s="14"/>
      <c r="I12" s="6"/>
    </row>
    <row r="13" customFormat="false" ht="23.25" hidden="false" customHeight="true" outlineLevel="0" collapsed="false">
      <c r="A13" s="5" t="s">
        <v>64</v>
      </c>
      <c r="B13" s="6" t="s">
        <v>14</v>
      </c>
      <c r="C13" s="6" t="s">
        <v>65</v>
      </c>
      <c r="D13" s="6" t="s">
        <v>41</v>
      </c>
      <c r="E13" s="5" t="s">
        <v>42</v>
      </c>
      <c r="F13" s="5" t="s">
        <v>39</v>
      </c>
      <c r="G13" s="13" t="s">
        <v>9</v>
      </c>
      <c r="H13" s="14"/>
      <c r="I13" s="6"/>
    </row>
    <row r="14" customFormat="false" ht="15" hidden="false" customHeight="true" outlineLevel="0" collapsed="false">
      <c r="A14" s="5" t="s">
        <v>66</v>
      </c>
      <c r="B14" s="6" t="s">
        <v>14</v>
      </c>
      <c r="C14" s="6" t="s">
        <v>67</v>
      </c>
      <c r="D14" s="6" t="s">
        <v>41</v>
      </c>
      <c r="E14" s="5" t="s">
        <v>42</v>
      </c>
      <c r="F14" s="5"/>
      <c r="G14" s="13" t="s">
        <v>9</v>
      </c>
      <c r="H14" s="14"/>
      <c r="I14" s="6"/>
    </row>
    <row r="15" customFormat="false" ht="23.25" hidden="false" customHeight="true" outlineLevel="0" collapsed="false">
      <c r="A15" s="5" t="s">
        <v>68</v>
      </c>
      <c r="B15" s="6" t="s">
        <v>14</v>
      </c>
      <c r="C15" s="6" t="s">
        <v>69</v>
      </c>
      <c r="D15" s="6" t="s">
        <v>41</v>
      </c>
      <c r="E15" s="5" t="s">
        <v>42</v>
      </c>
      <c r="F15" s="5" t="s">
        <v>39</v>
      </c>
      <c r="G15" s="13" t="s">
        <v>9</v>
      </c>
      <c r="H15" s="14"/>
      <c r="I15" s="6"/>
    </row>
    <row r="16" customFormat="false" ht="23.25" hidden="false" customHeight="true" outlineLevel="0" collapsed="false">
      <c r="A16" s="5" t="s">
        <v>70</v>
      </c>
      <c r="B16" s="6" t="s">
        <v>14</v>
      </c>
      <c r="C16" s="6" t="s">
        <v>71</v>
      </c>
      <c r="D16" s="6" t="s">
        <v>72</v>
      </c>
      <c r="E16" s="5" t="s">
        <v>73</v>
      </c>
      <c r="F16" s="5" t="s">
        <v>39</v>
      </c>
      <c r="G16" s="13" t="s">
        <v>9</v>
      </c>
      <c r="H16" s="14"/>
      <c r="I16" s="6" t="s">
        <v>74</v>
      </c>
    </row>
    <row r="17" customFormat="false" ht="23.25" hidden="false" customHeight="true" outlineLevel="0" collapsed="false">
      <c r="A17" s="5" t="s">
        <v>75</v>
      </c>
      <c r="B17" s="6" t="s">
        <v>21</v>
      </c>
      <c r="C17" s="6" t="s">
        <v>76</v>
      </c>
      <c r="D17" s="6" t="s">
        <v>41</v>
      </c>
      <c r="E17" s="5" t="s">
        <v>42</v>
      </c>
      <c r="F17" s="5" t="s">
        <v>64</v>
      </c>
      <c r="G17" s="13" t="s">
        <v>9</v>
      </c>
      <c r="H17" s="14"/>
      <c r="I17" s="6"/>
    </row>
    <row r="18" customFormat="false" ht="23.25" hidden="false" customHeight="true" outlineLevel="0" collapsed="false">
      <c r="A18" s="5" t="s">
        <v>77</v>
      </c>
      <c r="B18" s="6" t="s">
        <v>21</v>
      </c>
      <c r="C18" s="6" t="s">
        <v>78</v>
      </c>
      <c r="D18" s="6" t="s">
        <v>41</v>
      </c>
      <c r="E18" s="5" t="s">
        <v>42</v>
      </c>
      <c r="F18" s="5" t="s">
        <v>39</v>
      </c>
      <c r="G18" s="13" t="s">
        <v>9</v>
      </c>
      <c r="H18" s="14"/>
      <c r="I18" s="6"/>
    </row>
    <row r="19" customFormat="false" ht="23.25" hidden="false" customHeight="true" outlineLevel="0" collapsed="false">
      <c r="A19" s="5" t="s">
        <v>79</v>
      </c>
      <c r="B19" s="6" t="s">
        <v>21</v>
      </c>
      <c r="C19" s="6" t="s">
        <v>80</v>
      </c>
      <c r="D19" s="6" t="s">
        <v>81</v>
      </c>
      <c r="E19" s="5" t="s">
        <v>73</v>
      </c>
      <c r="F19" s="5" t="s">
        <v>64</v>
      </c>
      <c r="G19" s="13" t="s">
        <v>46</v>
      </c>
      <c r="H19" s="14"/>
      <c r="I19" s="6"/>
    </row>
    <row r="20" customFormat="false" ht="23.25" hidden="false" customHeight="true" outlineLevel="0" collapsed="false">
      <c r="A20" s="5" t="s">
        <v>82</v>
      </c>
      <c r="B20" s="6" t="s">
        <v>21</v>
      </c>
      <c r="C20" s="6" t="s">
        <v>83</v>
      </c>
      <c r="D20" s="6" t="s">
        <v>41</v>
      </c>
      <c r="E20" s="5" t="s">
        <v>42</v>
      </c>
      <c r="F20" s="5" t="s">
        <v>79</v>
      </c>
      <c r="G20" s="13" t="s">
        <v>9</v>
      </c>
      <c r="H20" s="14"/>
      <c r="I20" s="6"/>
    </row>
    <row r="21" customFormat="false" ht="23.25" hidden="false" customHeight="true" outlineLevel="0" collapsed="false">
      <c r="A21" s="5" t="s">
        <v>84</v>
      </c>
      <c r="B21" s="6" t="s">
        <v>21</v>
      </c>
      <c r="C21" s="6" t="s">
        <v>85</v>
      </c>
      <c r="D21" s="6" t="s">
        <v>41</v>
      </c>
      <c r="E21" s="5" t="s">
        <v>42</v>
      </c>
      <c r="F21" s="5" t="s">
        <v>79</v>
      </c>
      <c r="G21" s="13" t="s">
        <v>9</v>
      </c>
      <c r="H21" s="14"/>
      <c r="I21" s="6"/>
    </row>
    <row r="22" customFormat="false" ht="34.5" hidden="false" customHeight="true" outlineLevel="0" collapsed="false">
      <c r="A22" s="5" t="s">
        <v>86</v>
      </c>
      <c r="B22" s="6" t="s">
        <v>21</v>
      </c>
      <c r="C22" s="6" t="s">
        <v>87</v>
      </c>
      <c r="D22" s="6" t="s">
        <v>22</v>
      </c>
      <c r="E22" s="5" t="s">
        <v>73</v>
      </c>
      <c r="F22" s="5" t="s">
        <v>82</v>
      </c>
      <c r="G22" s="13" t="s">
        <v>9</v>
      </c>
      <c r="H22" s="14"/>
      <c r="I22" s="6" t="s">
        <v>88</v>
      </c>
    </row>
    <row r="23" customFormat="false" ht="23.25" hidden="false" customHeight="true" outlineLevel="0" collapsed="false">
      <c r="A23" s="5" t="s">
        <v>89</v>
      </c>
      <c r="B23" s="6" t="s">
        <v>21</v>
      </c>
      <c r="C23" s="6" t="s">
        <v>90</v>
      </c>
      <c r="D23" s="6" t="s">
        <v>91</v>
      </c>
      <c r="E23" s="5" t="s">
        <v>92</v>
      </c>
      <c r="F23" s="5"/>
      <c r="G23" s="13" t="s">
        <v>60</v>
      </c>
      <c r="H23" s="14"/>
      <c r="I23" s="6" t="s">
        <v>93</v>
      </c>
    </row>
    <row r="24" customFormat="false" ht="23.25" hidden="false" customHeight="true" outlineLevel="0" collapsed="false">
      <c r="A24" s="5" t="s">
        <v>94</v>
      </c>
      <c r="B24" s="6" t="s">
        <v>21</v>
      </c>
      <c r="C24" s="6" t="s">
        <v>95</v>
      </c>
      <c r="D24" s="6" t="s">
        <v>96</v>
      </c>
      <c r="E24" s="5" t="s">
        <v>92</v>
      </c>
      <c r="F24" s="5" t="s">
        <v>89</v>
      </c>
      <c r="G24" s="13" t="s">
        <v>60</v>
      </c>
      <c r="H24" s="14"/>
      <c r="I24" s="6"/>
    </row>
    <row r="25" customFormat="false" ht="34.5" hidden="false" customHeight="true" outlineLevel="0" collapsed="false">
      <c r="A25" s="5" t="s">
        <v>97</v>
      </c>
      <c r="B25" s="6" t="s">
        <v>18</v>
      </c>
      <c r="C25" s="6" t="s">
        <v>98</v>
      </c>
      <c r="D25" s="6" t="s">
        <v>99</v>
      </c>
      <c r="E25" s="5" t="s">
        <v>73</v>
      </c>
      <c r="F25" s="5" t="s">
        <v>68</v>
      </c>
      <c r="G25" s="13" t="s">
        <v>46</v>
      </c>
      <c r="H25" s="14"/>
      <c r="I25" s="6" t="s">
        <v>100</v>
      </c>
    </row>
    <row r="26" customFormat="false" ht="23.25" hidden="false" customHeight="true" outlineLevel="0" collapsed="false">
      <c r="A26" s="5" t="s">
        <v>101</v>
      </c>
      <c r="B26" s="6" t="s">
        <v>18</v>
      </c>
      <c r="C26" s="6" t="s">
        <v>102</v>
      </c>
      <c r="D26" s="6" t="s">
        <v>41</v>
      </c>
      <c r="E26" s="5" t="s">
        <v>42</v>
      </c>
      <c r="F26" s="5" t="s">
        <v>68</v>
      </c>
      <c r="G26" s="13" t="s">
        <v>9</v>
      </c>
      <c r="H26" s="14"/>
      <c r="I26" s="6"/>
    </row>
    <row r="27" customFormat="false" ht="34.5" hidden="false" customHeight="true" outlineLevel="0" collapsed="false">
      <c r="A27" s="5" t="s">
        <v>103</v>
      </c>
      <c r="B27" s="6" t="s">
        <v>16</v>
      </c>
      <c r="C27" s="6" t="s">
        <v>104</v>
      </c>
      <c r="D27" s="6" t="s">
        <v>41</v>
      </c>
      <c r="E27" s="5" t="s">
        <v>42</v>
      </c>
      <c r="F27" s="5" t="s">
        <v>39</v>
      </c>
      <c r="G27" s="13" t="s">
        <v>9</v>
      </c>
      <c r="H27" s="14"/>
      <c r="I27" s="6"/>
    </row>
    <row r="28" customFormat="false" ht="34.5" hidden="false" customHeight="true" outlineLevel="0" collapsed="false">
      <c r="A28" s="5" t="s">
        <v>105</v>
      </c>
      <c r="B28" s="6" t="s">
        <v>16</v>
      </c>
      <c r="C28" s="6" t="s">
        <v>106</v>
      </c>
      <c r="D28" s="6" t="s">
        <v>41</v>
      </c>
      <c r="E28" s="5" t="s">
        <v>42</v>
      </c>
      <c r="F28" s="5" t="s">
        <v>103</v>
      </c>
      <c r="G28" s="13" t="s">
        <v>9</v>
      </c>
      <c r="H28" s="14"/>
      <c r="I28" s="6"/>
    </row>
    <row r="29" customFormat="false" ht="15" hidden="false" customHeight="true" outlineLevel="0" collapsed="false">
      <c r="A29" s="5" t="s">
        <v>107</v>
      </c>
      <c r="B29" s="6" t="s">
        <v>16</v>
      </c>
      <c r="C29" s="6" t="s">
        <v>108</v>
      </c>
      <c r="D29" s="6" t="s">
        <v>41</v>
      </c>
      <c r="E29" s="5" t="s">
        <v>42</v>
      </c>
      <c r="F29" s="5" t="s">
        <v>105</v>
      </c>
      <c r="G29" s="13" t="s">
        <v>46</v>
      </c>
      <c r="H29" s="14"/>
      <c r="I29" s="6"/>
    </row>
    <row r="30" customFormat="false" ht="23.25" hidden="false" customHeight="true" outlineLevel="0" collapsed="false">
      <c r="A30" s="5" t="s">
        <v>109</v>
      </c>
      <c r="B30" s="6" t="s">
        <v>16</v>
      </c>
      <c r="C30" s="6" t="s">
        <v>110</v>
      </c>
      <c r="D30" s="6" t="s">
        <v>41</v>
      </c>
      <c r="E30" s="5" t="s">
        <v>42</v>
      </c>
      <c r="F30" s="5" t="s">
        <v>105</v>
      </c>
      <c r="G30" s="13" t="s">
        <v>9</v>
      </c>
      <c r="H30" s="14"/>
      <c r="I30" s="6"/>
    </row>
  </sheetData>
  <autoFilter ref="A4:I30"/>
  <conditionalFormatting sqref="G5:G60">
    <cfRule type="cellIs" priority="2" operator="equal" aboveAverage="0" equalAverage="0" bottom="0" percent="0" rank="0" text="" dxfId="6">
      <formula>"Zrobione"</formula>
    </cfRule>
    <cfRule type="cellIs" priority="3" operator="equal" aboveAverage="0" equalAverage="0" bottom="0" percent="0" rank="0" text="" dxfId="7">
      <formula>"W toku"</formula>
    </cfRule>
  </conditionalFormatting>
  <dataValidations count="2">
    <dataValidation allowBlank="false" errorStyle="stop" operator="between" showDropDown="false" showErrorMessage="false" showInputMessage="false" sqref="G5:G60" type="list">
      <formula1>"Do zrobienia,W toku,Zrobione"</formula1>
      <formula2>0</formula2>
    </dataValidation>
    <dataValidation allowBlank="false" errorStyle="stop" operator="between" showDropDown="false" showErrorMessage="false" showInputMessage="false" sqref="E5:E60" type="list">
      <formula1>"Pełna,Częściowa,Decyzja człowieka"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  <col collapsed="false" customWidth="true" hidden="false" outlineLevel="0" max="3" min="3" style="1" width="40"/>
    <col collapsed="false" customWidth="true" hidden="false" outlineLevel="0" max="4" min="4" style="1" width="32"/>
  </cols>
  <sheetData>
    <row r="1" customFormat="false" ht="17.25" hidden="false" customHeight="true" outlineLevel="0" collapsed="false">
      <c r="A1" s="2" t="s">
        <v>111</v>
      </c>
    </row>
    <row r="3" customFormat="false" ht="15" hidden="false" customHeight="true" outlineLevel="0" collapsed="false">
      <c r="A3" s="4" t="s">
        <v>112</v>
      </c>
      <c r="B3" s="4" t="s">
        <v>113</v>
      </c>
      <c r="C3" s="4" t="s">
        <v>114</v>
      </c>
      <c r="D3" s="4" t="s">
        <v>115</v>
      </c>
    </row>
    <row r="4" customFormat="false" ht="23.25" hidden="false" customHeight="true" outlineLevel="0" collapsed="false">
      <c r="A4" s="6" t="s">
        <v>116</v>
      </c>
      <c r="B4" s="6" t="s">
        <v>117</v>
      </c>
      <c r="C4" s="6" t="s">
        <v>118</v>
      </c>
      <c r="D4" s="6" t="s">
        <v>119</v>
      </c>
    </row>
    <row r="5" customFormat="false" ht="45.75" hidden="false" customHeight="true" outlineLevel="0" collapsed="false">
      <c r="A5" s="6" t="s">
        <v>120</v>
      </c>
      <c r="B5" s="6" t="s">
        <v>121</v>
      </c>
      <c r="C5" s="6" t="s">
        <v>122</v>
      </c>
      <c r="D5" s="6" t="s">
        <v>123</v>
      </c>
    </row>
    <row r="6" customFormat="false" ht="23.25" hidden="false" customHeight="true" outlineLevel="0" collapsed="false">
      <c r="A6" s="6" t="s">
        <v>124</v>
      </c>
      <c r="B6" s="6" t="s">
        <v>125</v>
      </c>
      <c r="C6" s="6" t="s">
        <v>126</v>
      </c>
      <c r="D6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52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127</v>
      </c>
    </row>
    <row r="3" customFormat="false" ht="15" hidden="false" customHeight="true" outlineLevel="0" collapsed="false">
      <c r="A3" s="4" t="s">
        <v>114</v>
      </c>
      <c r="B3" s="4" t="s">
        <v>128</v>
      </c>
      <c r="C3" s="4" t="s">
        <v>129</v>
      </c>
    </row>
    <row r="4" customFormat="false" ht="15" hidden="false" customHeight="true" outlineLevel="0" collapsed="false">
      <c r="A4" s="6" t="s">
        <v>130</v>
      </c>
      <c r="B4" s="6" t="s">
        <v>131</v>
      </c>
      <c r="C4" s="15" t="s">
        <v>132</v>
      </c>
    </row>
    <row r="5" customFormat="false" ht="15" hidden="false" customHeight="true" outlineLevel="0" collapsed="false">
      <c r="A5" s="6" t="s">
        <v>133</v>
      </c>
      <c r="B5" s="6" t="s">
        <v>134</v>
      </c>
      <c r="C5" s="15" t="s">
        <v>135</v>
      </c>
    </row>
    <row r="6" customFormat="false" ht="23.25" hidden="false" customHeight="true" outlineLevel="0" collapsed="false">
      <c r="A6" s="6" t="s">
        <v>136</v>
      </c>
      <c r="B6" s="6" t="s">
        <v>137</v>
      </c>
      <c r="C6" s="15" t="s">
        <v>138</v>
      </c>
    </row>
    <row r="7" customFormat="false" ht="23.25" hidden="false" customHeight="true" outlineLevel="0" collapsed="false">
      <c r="A7" s="6" t="s">
        <v>139</v>
      </c>
      <c r="B7" s="6" t="s">
        <v>140</v>
      </c>
      <c r="C7" s="15" t="s">
        <v>141</v>
      </c>
    </row>
    <row r="8" customFormat="false" ht="15" hidden="false" customHeight="true" outlineLevel="0" collapsed="false">
      <c r="A8" s="6" t="s">
        <v>142</v>
      </c>
      <c r="B8" s="6" t="s">
        <v>143</v>
      </c>
      <c r="C8" s="6" t="s">
        <v>144</v>
      </c>
    </row>
  </sheetData>
  <hyperlinks>
    <hyperlink ref="C4" r:id="rId1" display="https://api.sejm.gov.pl/eli/openapi/"/>
    <hyperlink ref="C5" r:id="rId2" display="https://api.sejm.gov.pl/eli_pl.html"/>
    <hyperlink ref="C6" r:id="rId3" display="https://digital-strategy.ec.europa.eu/en/library/guidelines-transparency-obligations-providers-and-deployers-ai-systems"/>
    <hyperlink ref="C7" r:id="rId4" display="https://www.gtlaw.com/en/insights/2026/6/deepfakes-chatbots-ai-generated-text-european-commission-details-transparency-obligations-under-the-ai-a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2026-10-21T10:20:59Z</dcterms:created>
  <dc:creator>openpyxl</dc:creator>
  <dc:description/>
  <dc:language>en-US</dc:language>
  <cp:lastModifiedBy/>
  <dcterms:modified xsi:type="dcterms:W3CDTF">2026-10-24T11:51:44Z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